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TU Backup\Bachelor\bachelor-waldbojen\"/>
    </mc:Choice>
  </mc:AlternateContent>
  <xr:revisionPtr revIDLastSave="0" documentId="8_{F938E8B6-122E-4DE9-B5FC-6695A22713F6}" xr6:coauthVersionLast="47" xr6:coauthVersionMax="47" xr10:uidLastSave="{00000000-0000-0000-0000-000000000000}"/>
  <bookViews>
    <workbookView xWindow="18615" yWindow="2415" windowWidth="38700" windowHeight="154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" l="1"/>
  <c r="E49" i="1"/>
  <c r="D49" i="1"/>
  <c r="E40" i="1"/>
  <c r="D40" i="1"/>
  <c r="E31" i="1"/>
  <c r="K31" i="1" s="1"/>
  <c r="D31" i="1"/>
  <c r="F45" i="1"/>
  <c r="F36" i="1"/>
  <c r="F27" i="1"/>
  <c r="G27" i="1" s="1"/>
  <c r="H27" i="1" s="1"/>
  <c r="F17" i="1"/>
  <c r="F18" i="1" s="1"/>
  <c r="F19" i="1" s="1"/>
  <c r="E17" i="1"/>
  <c r="E18" i="1" s="1"/>
  <c r="E19" i="1" s="1"/>
  <c r="D17" i="1"/>
  <c r="D18" i="1" s="1"/>
  <c r="D19" i="1" s="1"/>
  <c r="F7" i="1"/>
  <c r="E7" i="1"/>
  <c r="D6" i="1"/>
  <c r="D7" i="1" s="1"/>
  <c r="K49" i="1" l="1"/>
  <c r="K40" i="1"/>
  <c r="D20" i="1"/>
  <c r="D44" i="1" s="1"/>
  <c r="D46" i="1" s="1"/>
  <c r="E20" i="1"/>
  <c r="F20" i="1"/>
  <c r="D26" i="1"/>
  <c r="D28" i="1" s="1"/>
  <c r="G45" i="1"/>
  <c r="H45" i="1" s="1"/>
  <c r="G36" i="1"/>
  <c r="H36" i="1" s="1"/>
  <c r="D35" i="1" l="1"/>
  <c r="D37" i="1" s="1"/>
  <c r="E44" i="1"/>
  <c r="E46" i="1" s="1"/>
  <c r="E26" i="1"/>
  <c r="E28" i="1" s="1"/>
  <c r="E35" i="1"/>
  <c r="E37" i="1" s="1"/>
  <c r="F44" i="1"/>
  <c r="F46" i="1" s="1"/>
  <c r="F26" i="1"/>
  <c r="F28" i="1" s="1"/>
  <c r="G28" i="1" s="1"/>
  <c r="H28" i="1" s="1"/>
  <c r="H29" i="1" s="1"/>
  <c r="J29" i="1" s="1"/>
  <c r="F35" i="1"/>
  <c r="F37" i="1" s="1"/>
  <c r="G46" i="1" l="1"/>
  <c r="H46" i="1" s="1"/>
  <c r="H47" i="1" s="1"/>
  <c r="J47" i="1" s="1"/>
  <c r="G37" i="1"/>
  <c r="H37" i="1" s="1"/>
  <c r="H38" i="1" s="1"/>
  <c r="J38" i="1" s="1"/>
</calcChain>
</file>

<file path=xl/sharedStrings.xml><?xml version="1.0" encoding="utf-8"?>
<sst xmlns="http://schemas.openxmlformats.org/spreadsheetml/2006/main" count="99" uniqueCount="54">
  <si>
    <t>Komponente</t>
  </si>
  <si>
    <t>Messen</t>
  </si>
  <si>
    <t>Senden</t>
  </si>
  <si>
    <t>Schlafen</t>
  </si>
  <si>
    <t xml:space="preserve">Weiteres </t>
  </si>
  <si>
    <t>Sim800L</t>
  </si>
  <si>
    <t>-</t>
  </si>
  <si>
    <t>Gesamt mA</t>
  </si>
  <si>
    <t>Esp32</t>
  </si>
  <si>
    <t>ADS1115</t>
  </si>
  <si>
    <t>LoRa</t>
  </si>
  <si>
    <t xml:space="preserve">Nicht mit einbezogen, da nur als Back­up für Sim800L </t>
  </si>
  <si>
    <t>PCF8575</t>
  </si>
  <si>
    <t>DS18B20</t>
  </si>
  <si>
    <t>TPL5111</t>
  </si>
  <si>
    <t xml:space="preserve">Solareffizienz: 78%, Wandlereffizienz: 86% </t>
  </si>
  <si>
    <t>Waveshare Power Management</t>
  </si>
  <si>
    <t>Spannung</t>
  </si>
  <si>
    <t>Gesamt W in mW</t>
  </si>
  <si>
    <t>Gesamtsystem mW</t>
  </si>
  <si>
    <t>Gesamt mW * 86%</t>
  </si>
  <si>
    <t>Gesamt mW</t>
  </si>
  <si>
    <t>TDS</t>
  </si>
  <si>
    <t>pH</t>
  </si>
  <si>
    <t>Energiebilanz</t>
  </si>
  <si>
    <t>Zeit s</t>
  </si>
  <si>
    <t>Umrechnung</t>
  </si>
  <si>
    <t>Zyklus</t>
  </si>
  <si>
    <t>Gesamtenergie Ws</t>
  </si>
  <si>
    <t>Energie W</t>
  </si>
  <si>
    <t>Pro Tag</t>
  </si>
  <si>
    <t>Gesamtenergie Wh</t>
  </si>
  <si>
    <t>Normalzyklus</t>
  </si>
  <si>
    <t>Stromsparzyklus</t>
  </si>
  <si>
    <t>Solarertrag</t>
  </si>
  <si>
    <t>Wh</t>
  </si>
  <si>
    <t>Wh pro d</t>
  </si>
  <si>
    <t>Nullzyklus</t>
  </si>
  <si>
    <t>Datengeschwindigkeit kbps</t>
  </si>
  <si>
    <t>Datenmenge kb</t>
  </si>
  <si>
    <t>kb</t>
  </si>
  <si>
    <t>Datenbudget</t>
  </si>
  <si>
    <t>Kostentabelle</t>
  </si>
  <si>
    <t>Modul</t>
  </si>
  <si>
    <t>Waveshare Power Manager</t>
  </si>
  <si>
    <t>Solarzelle</t>
  </si>
  <si>
    <t>TPL5110</t>
  </si>
  <si>
    <t>Akku</t>
  </si>
  <si>
    <t>LoRa SX12xx</t>
  </si>
  <si>
    <t>LCD ST7735 1.8"</t>
  </si>
  <si>
    <t>1m WS2812B 144 LEDs</t>
  </si>
  <si>
    <t>Kosten</t>
  </si>
  <si>
    <t>Gesamt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</si>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</sst>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77"/>
  <sheetViews>
    <sheetView tabSelected="1" zoomScale="115" zoomScaleNormal="115" workbookViewId="0">
      <selection activeCell="N59" sqref="N59"/>
    </sheetView>
  </sheetViews>
  <sheetFormatPr baseColWidth="10" defaultColWidth="9.140625" defaultRowHeight="15" x14ac:dyDescent="0.25"/>
  <cols>
    <col min="2" max="2" width="22" customWidth="1"/>
    <col min="3" max="3" width="12.85546875" customWidth="1"/>
    <col min="7" max="7" width="16.7109375" customWidth="1"/>
  </cols>
  <sheetData>
    <row r="3" spans="2:13" x14ac:dyDescent="0.25">
      <c r="B3" s="1" t="s">
        <v>0</v>
      </c>
      <c r="C3" t="s">
        <v>17</v>
      </c>
      <c r="D3" t="s">
        <v>1</v>
      </c>
      <c r="E3" t="s">
        <v>2</v>
      </c>
      <c r="F3" t="s">
        <v>3</v>
      </c>
      <c r="G3" t="s">
        <v>4</v>
      </c>
    </row>
    <row r="4" spans="2:13" x14ac:dyDescent="0.25">
      <c r="B4" s="1" t="s">
        <v>16</v>
      </c>
      <c r="D4">
        <v>2</v>
      </c>
      <c r="E4">
        <v>2</v>
      </c>
      <c r="F4">
        <v>2</v>
      </c>
      <c r="G4" t="s">
        <v>15</v>
      </c>
    </row>
    <row r="5" spans="2:13" x14ac:dyDescent="0.25">
      <c r="B5" t="s">
        <v>5</v>
      </c>
      <c r="D5">
        <v>17.399999999999999</v>
      </c>
      <c r="E5">
        <v>530</v>
      </c>
      <c r="F5" t="s">
        <v>6</v>
      </c>
    </row>
    <row r="6" spans="2:13" x14ac:dyDescent="0.25">
      <c r="B6" t="s">
        <v>7</v>
      </c>
      <c r="D6">
        <f>D5+D4</f>
        <v>19.399999999999999</v>
      </c>
      <c r="E6">
        <v>532</v>
      </c>
      <c r="F6">
        <v>2</v>
      </c>
    </row>
    <row r="7" spans="2:13" x14ac:dyDescent="0.25">
      <c r="B7" t="s">
        <v>18</v>
      </c>
      <c r="C7">
        <v>3.7</v>
      </c>
      <c r="D7">
        <f>C7*D6</f>
        <v>71.78</v>
      </c>
      <c r="E7">
        <f>C7*E6</f>
        <v>1968.4</v>
      </c>
      <c r="F7">
        <f>C7*F6</f>
        <v>7.4</v>
      </c>
    </row>
    <row r="9" spans="2:13" x14ac:dyDescent="0.25">
      <c r="B9" t="s">
        <v>8</v>
      </c>
      <c r="D9">
        <v>44</v>
      </c>
      <c r="E9">
        <v>44</v>
      </c>
    </row>
    <row r="10" spans="2:13" x14ac:dyDescent="0.25">
      <c r="B10" t="s">
        <v>9</v>
      </c>
      <c r="D10">
        <v>0.3</v>
      </c>
      <c r="E10" s="1">
        <v>5.0000000000000001E-3</v>
      </c>
    </row>
    <row r="11" spans="2:13" x14ac:dyDescent="0.25">
      <c r="B11" t="s">
        <v>12</v>
      </c>
      <c r="D11">
        <v>0.2</v>
      </c>
      <c r="E11">
        <v>0.2</v>
      </c>
      <c r="H11" t="s">
        <v>10</v>
      </c>
      <c r="J11" s="1">
        <v>1E-3</v>
      </c>
      <c r="K11">
        <v>120</v>
      </c>
      <c r="M11" t="s">
        <v>11</v>
      </c>
    </row>
    <row r="13" spans="2:13" x14ac:dyDescent="0.25">
      <c r="B13" t="s">
        <v>23</v>
      </c>
      <c r="D13">
        <v>0.59</v>
      </c>
    </row>
    <row r="14" spans="2:13" x14ac:dyDescent="0.25">
      <c r="B14" t="s">
        <v>22</v>
      </c>
      <c r="D14">
        <v>6</v>
      </c>
    </row>
    <row r="16" spans="2:13" x14ac:dyDescent="0.25">
      <c r="B16" t="s">
        <v>14</v>
      </c>
      <c r="D16" s="1">
        <v>5.0000000000000002E-5</v>
      </c>
      <c r="E16" s="1">
        <v>5.0000000000000002E-5</v>
      </c>
      <c r="F16" s="1">
        <v>5.0000000000000002E-5</v>
      </c>
    </row>
    <row r="17" spans="1:11" x14ac:dyDescent="0.25">
      <c r="B17" t="s">
        <v>7</v>
      </c>
      <c r="D17">
        <f>SUM(D9:D16)</f>
        <v>51.090050000000005</v>
      </c>
      <c r="E17">
        <f>SUM(E9:E16)</f>
        <v>44.205050000000007</v>
      </c>
      <c r="F17">
        <f>SUM(F9:F16)</f>
        <v>5.0000000000000002E-5</v>
      </c>
    </row>
    <row r="18" spans="1:11" x14ac:dyDescent="0.25">
      <c r="B18" t="s">
        <v>21</v>
      </c>
      <c r="C18">
        <v>5</v>
      </c>
      <c r="D18">
        <f>C18*D17</f>
        <v>255.45025000000004</v>
      </c>
      <c r="E18">
        <f>C18*E17</f>
        <v>221.02525000000003</v>
      </c>
      <c r="F18">
        <f>C18*F17</f>
        <v>2.5000000000000001E-4</v>
      </c>
    </row>
    <row r="19" spans="1:11" x14ac:dyDescent="0.25">
      <c r="B19" t="s">
        <v>20</v>
      </c>
      <c r="C19" s="2">
        <v>1.162790698</v>
      </c>
      <c r="D19">
        <f>C19*D18</f>
        <v>297.03517450177458</v>
      </c>
      <c r="E19">
        <f>C19*E18</f>
        <v>257.00610472312451</v>
      </c>
      <c r="F19">
        <f>C19*F18</f>
        <v>2.9069767449999999E-4</v>
      </c>
    </row>
    <row r="20" spans="1:11" x14ac:dyDescent="0.25">
      <c r="B20" t="s">
        <v>19</v>
      </c>
      <c r="D20">
        <f>D19+D7</f>
        <v>368.81517450177455</v>
      </c>
      <c r="E20">
        <f>E19+E7</f>
        <v>2225.4061047231244</v>
      </c>
      <c r="F20">
        <f>F19+F7</f>
        <v>7.4002906976745004</v>
      </c>
    </row>
    <row r="23" spans="1:11" x14ac:dyDescent="0.25">
      <c r="A23" t="s">
        <v>24</v>
      </c>
    </row>
    <row r="24" spans="1:11" x14ac:dyDescent="0.25">
      <c r="B24" t="s">
        <v>32</v>
      </c>
      <c r="C24" t="s">
        <v>26</v>
      </c>
      <c r="D24" t="s">
        <v>1</v>
      </c>
      <c r="E24" t="s">
        <v>2</v>
      </c>
      <c r="F24" t="s">
        <v>3</v>
      </c>
      <c r="G24" t="s">
        <v>27</v>
      </c>
      <c r="H24" t="s">
        <v>30</v>
      </c>
      <c r="I24" t="s">
        <v>34</v>
      </c>
      <c r="J24" t="s">
        <v>24</v>
      </c>
      <c r="K24" t="s">
        <v>41</v>
      </c>
    </row>
    <row r="25" spans="1:11" x14ac:dyDescent="0.25">
      <c r="I25" t="s">
        <v>36</v>
      </c>
      <c r="J25" t="s">
        <v>35</v>
      </c>
      <c r="K25" t="s">
        <v>40</v>
      </c>
    </row>
    <row r="26" spans="1:11" x14ac:dyDescent="0.25">
      <c r="B26" t="s">
        <v>29</v>
      </c>
      <c r="C26" s="3">
        <v>1E-3</v>
      </c>
      <c r="D26">
        <f>$C26*$D20</f>
        <v>0.36881517450177453</v>
      </c>
      <c r="E26">
        <f>$C26*$E20</f>
        <v>2.2254061047231244</v>
      </c>
      <c r="F26">
        <f>$C26*$F20</f>
        <v>7.400290697674501E-3</v>
      </c>
    </row>
    <row r="27" spans="1:11" x14ac:dyDescent="0.25">
      <c r="B27" t="s">
        <v>25</v>
      </c>
      <c r="D27">
        <v>30</v>
      </c>
      <c r="E27">
        <v>5</v>
      </c>
      <c r="F27">
        <f>10*60-E27-D27</f>
        <v>565</v>
      </c>
      <c r="G27">
        <f>(F27+E27+D27)/60</f>
        <v>10</v>
      </c>
      <c r="H27">
        <f>(24*60)/G27</f>
        <v>144</v>
      </c>
    </row>
    <row r="28" spans="1:11" x14ac:dyDescent="0.25">
      <c r="B28" t="s">
        <v>28</v>
      </c>
      <c r="D28">
        <f>D27*D26</f>
        <v>11.064455235053236</v>
      </c>
      <c r="E28">
        <f>E27*E26</f>
        <v>11.127030523615622</v>
      </c>
      <c r="F28">
        <f>F27*F26</f>
        <v>4.1811642441860934</v>
      </c>
      <c r="G28">
        <f>F28+E28+D28</f>
        <v>26.372650002854954</v>
      </c>
      <c r="H28">
        <f>H27*G28</f>
        <v>3797.6616004111133</v>
      </c>
    </row>
    <row r="29" spans="1:11" x14ac:dyDescent="0.25">
      <c r="B29" t="s">
        <v>31</v>
      </c>
      <c r="C29">
        <v>3600</v>
      </c>
      <c r="H29">
        <f>H28/C29</f>
        <v>1.0549060001141981</v>
      </c>
      <c r="I29">
        <v>2.57</v>
      </c>
      <c r="J29">
        <f>I29-H29</f>
        <v>1.5150939998858017</v>
      </c>
    </row>
    <row r="30" spans="1:11" x14ac:dyDescent="0.25">
      <c r="B30" t="s">
        <v>38</v>
      </c>
      <c r="D30">
        <v>13</v>
      </c>
      <c r="E30">
        <v>85</v>
      </c>
    </row>
    <row r="31" spans="1:11" x14ac:dyDescent="0.25">
      <c r="B31" t="s">
        <v>39</v>
      </c>
      <c r="D31">
        <f>D30*D27</f>
        <v>390</v>
      </c>
      <c r="E31">
        <f>E30*E27</f>
        <v>425</v>
      </c>
      <c r="K31">
        <f>E31-D31</f>
        <v>35</v>
      </c>
    </row>
    <row r="33" spans="2:11" x14ac:dyDescent="0.25">
      <c r="B33" t="s">
        <v>33</v>
      </c>
      <c r="C33" t="s">
        <v>26</v>
      </c>
      <c r="D33" t="s">
        <v>1</v>
      </c>
      <c r="E33" t="s">
        <v>2</v>
      </c>
      <c r="F33" t="s">
        <v>3</v>
      </c>
      <c r="G33" t="s">
        <v>27</v>
      </c>
      <c r="H33" t="s">
        <v>30</v>
      </c>
      <c r="I33" t="s">
        <v>34</v>
      </c>
      <c r="J33" t="s">
        <v>24</v>
      </c>
      <c r="K33" t="s">
        <v>41</v>
      </c>
    </row>
    <row r="34" spans="2:11" x14ac:dyDescent="0.25">
      <c r="I34" t="s">
        <v>36</v>
      </c>
      <c r="J34" t="s">
        <v>35</v>
      </c>
      <c r="K34" t="s">
        <v>40</v>
      </c>
    </row>
    <row r="35" spans="2:11" x14ac:dyDescent="0.25">
      <c r="B35" t="s">
        <v>29</v>
      </c>
      <c r="C35" s="3">
        <v>1E-3</v>
      </c>
      <c r="D35">
        <f>$C35*$D20</f>
        <v>0.36881517450177453</v>
      </c>
      <c r="E35">
        <f>$C35*$E20</f>
        <v>2.2254061047231244</v>
      </c>
      <c r="F35">
        <f>$C35*$F20</f>
        <v>7.400290697674501E-3</v>
      </c>
    </row>
    <row r="36" spans="2:11" x14ac:dyDescent="0.25">
      <c r="B36" t="s">
        <v>25</v>
      </c>
      <c r="D36">
        <v>5</v>
      </c>
      <c r="E36">
        <v>1</v>
      </c>
      <c r="F36">
        <f>10*60-E36-D36</f>
        <v>594</v>
      </c>
      <c r="G36">
        <f>(F36+E36+D36)/60</f>
        <v>10</v>
      </c>
      <c r="H36">
        <f>(24*60)/G36</f>
        <v>144</v>
      </c>
    </row>
    <row r="37" spans="2:11" x14ac:dyDescent="0.25">
      <c r="B37" t="s">
        <v>28</v>
      </c>
      <c r="D37">
        <f>D36*D35</f>
        <v>1.8440758725088726</v>
      </c>
      <c r="E37">
        <f>E36*E35</f>
        <v>2.2254061047231244</v>
      </c>
      <c r="F37">
        <f>F36*F35</f>
        <v>4.3957726744186534</v>
      </c>
      <c r="G37">
        <f>F37+E37+D37</f>
        <v>8.4652546516506497</v>
      </c>
      <c r="H37">
        <f>H36*G37</f>
        <v>1218.9966698376936</v>
      </c>
    </row>
    <row r="38" spans="2:11" x14ac:dyDescent="0.25">
      <c r="B38" t="s">
        <v>31</v>
      </c>
      <c r="C38">
        <v>3600</v>
      </c>
      <c r="H38">
        <f>H37/C38</f>
        <v>0.338610186066026</v>
      </c>
      <c r="I38">
        <v>2.57</v>
      </c>
      <c r="J38">
        <f>I38-H38</f>
        <v>2.2313898139339736</v>
      </c>
    </row>
    <row r="39" spans="2:11" x14ac:dyDescent="0.25">
      <c r="B39" t="s">
        <v>38</v>
      </c>
      <c r="D39">
        <v>13</v>
      </c>
      <c r="E39">
        <v>85</v>
      </c>
    </row>
    <row r="40" spans="2:11" x14ac:dyDescent="0.25">
      <c r="B40" t="s">
        <v>39</v>
      </c>
      <c r="D40">
        <f>D39*D36</f>
        <v>65</v>
      </c>
      <c r="E40">
        <f>E39*E36</f>
        <v>85</v>
      </c>
      <c r="K40">
        <f>E40-D40</f>
        <v>20</v>
      </c>
    </row>
    <row r="42" spans="2:11" x14ac:dyDescent="0.25">
      <c r="B42" t="s">
        <v>37</v>
      </c>
      <c r="C42" t="s">
        <v>26</v>
      </c>
      <c r="D42" t="s">
        <v>1</v>
      </c>
      <c r="E42" t="s">
        <v>2</v>
      </c>
      <c r="F42" t="s">
        <v>3</v>
      </c>
      <c r="G42" t="s">
        <v>27</v>
      </c>
      <c r="H42" t="s">
        <v>30</v>
      </c>
      <c r="I42" t="s">
        <v>34</v>
      </c>
      <c r="J42" t="s">
        <v>24</v>
      </c>
      <c r="K42" t="s">
        <v>41</v>
      </c>
    </row>
    <row r="43" spans="2:11" x14ac:dyDescent="0.25">
      <c r="I43" t="s">
        <v>36</v>
      </c>
      <c r="J43" t="s">
        <v>35</v>
      </c>
      <c r="K43" t="s">
        <v>40</v>
      </c>
    </row>
    <row r="44" spans="2:11" x14ac:dyDescent="0.25">
      <c r="B44" t="s">
        <v>29</v>
      </c>
      <c r="C44" s="3">
        <v>1E-3</v>
      </c>
      <c r="D44">
        <f>$C44*$D20</f>
        <v>0.36881517450177453</v>
      </c>
      <c r="E44">
        <f>$C44*$E20</f>
        <v>2.2254061047231244</v>
      </c>
      <c r="F44">
        <f>$C44*$F20</f>
        <v>7.400290697674501E-3</v>
      </c>
    </row>
    <row r="45" spans="2:11" x14ac:dyDescent="0.25">
      <c r="B45" t="s">
        <v>25</v>
      </c>
      <c r="D45">
        <v>60</v>
      </c>
      <c r="E45">
        <v>10</v>
      </c>
      <c r="F45">
        <f>10*60-E45-D45</f>
        <v>530</v>
      </c>
      <c r="G45">
        <f>(F45+E45+D45)/60</f>
        <v>10</v>
      </c>
      <c r="H45">
        <f>(24*60)/G45</f>
        <v>144</v>
      </c>
    </row>
    <row r="46" spans="2:11" x14ac:dyDescent="0.25">
      <c r="B46" t="s">
        <v>28</v>
      </c>
      <c r="D46">
        <f>D45*D44</f>
        <v>22.128910470106472</v>
      </c>
      <c r="E46">
        <f>E45*E44</f>
        <v>22.254061047231243</v>
      </c>
      <c r="F46">
        <f>F45*F44</f>
        <v>3.9221540697674855</v>
      </c>
      <c r="G46">
        <f>F46+E46+D46</f>
        <v>48.305125587105202</v>
      </c>
      <c r="H46">
        <f>H45*G46</f>
        <v>6955.9380845431488</v>
      </c>
    </row>
    <row r="47" spans="2:11" x14ac:dyDescent="0.25">
      <c r="B47" t="s">
        <v>31</v>
      </c>
      <c r="C47">
        <v>3600</v>
      </c>
      <c r="H47">
        <f>H46/C47</f>
        <v>1.9322050234842081</v>
      </c>
      <c r="I47">
        <v>2.57</v>
      </c>
      <c r="J47">
        <f>I47-H47</f>
        <v>0.63779497651579176</v>
      </c>
    </row>
    <row r="48" spans="2:11" x14ac:dyDescent="0.25">
      <c r="B48" t="s">
        <v>38</v>
      </c>
      <c r="D48">
        <v>13</v>
      </c>
      <c r="E48">
        <v>85</v>
      </c>
    </row>
    <row r="49" spans="2:11" x14ac:dyDescent="0.25">
      <c r="B49" t="s">
        <v>39</v>
      </c>
      <c r="D49">
        <f>D48*D45</f>
        <v>780</v>
      </c>
      <c r="E49">
        <f>E48*E45</f>
        <v>850</v>
      </c>
      <c r="K49">
        <f>E49-D49</f>
        <v>70</v>
      </c>
    </row>
    <row r="61" spans="2:11" x14ac:dyDescent="0.25">
      <c r="B61" t="s">
        <v>42</v>
      </c>
    </row>
    <row r="63" spans="2:11" x14ac:dyDescent="0.25">
      <c r="B63" t="s">
        <v>43</v>
      </c>
      <c r="C63" t="s">
        <v>51</v>
      </c>
    </row>
    <row r="64" spans="2:11" x14ac:dyDescent="0.25">
      <c r="B64" t="s">
        <v>44</v>
      </c>
      <c r="C64" s="4">
        <v>10</v>
      </c>
    </row>
    <row r="65" spans="2:3" x14ac:dyDescent="0.25">
      <c r="B65" t="s">
        <v>45</v>
      </c>
      <c r="C65" s="4">
        <v>3</v>
      </c>
    </row>
    <row r="66" spans="2:3" x14ac:dyDescent="0.25">
      <c r="B66" t="s">
        <v>46</v>
      </c>
      <c r="C66" s="4">
        <v>5</v>
      </c>
    </row>
    <row r="67" spans="2:3" x14ac:dyDescent="0.25">
      <c r="B67" t="s">
        <v>47</v>
      </c>
      <c r="C67" s="4">
        <v>10</v>
      </c>
    </row>
    <row r="68" spans="2:3" x14ac:dyDescent="0.25">
      <c r="B68" t="s">
        <v>8</v>
      </c>
      <c r="C68" s="4">
        <v>5</v>
      </c>
    </row>
    <row r="69" spans="2:3" x14ac:dyDescent="0.25">
      <c r="B69" t="s">
        <v>5</v>
      </c>
      <c r="C69" s="4">
        <v>4</v>
      </c>
    </row>
    <row r="70" spans="2:3" x14ac:dyDescent="0.25">
      <c r="B70" t="s">
        <v>9</v>
      </c>
      <c r="C70" s="4">
        <v>2</v>
      </c>
    </row>
    <row r="71" spans="2:3" x14ac:dyDescent="0.25">
      <c r="B71" t="s">
        <v>12</v>
      </c>
      <c r="C71" s="4">
        <v>2</v>
      </c>
    </row>
    <row r="72" spans="2:3" x14ac:dyDescent="0.25">
      <c r="B72" t="s">
        <v>13</v>
      </c>
      <c r="C72" s="4">
        <v>2</v>
      </c>
    </row>
    <row r="73" spans="2:3" x14ac:dyDescent="0.25">
      <c r="B73" t="s">
        <v>48</v>
      </c>
      <c r="C73" s="4">
        <v>5</v>
      </c>
    </row>
    <row r="74" spans="2:3" x14ac:dyDescent="0.25">
      <c r="B74" t="s">
        <v>49</v>
      </c>
      <c r="C74" s="4">
        <v>3</v>
      </c>
    </row>
    <row r="75" spans="2:3" x14ac:dyDescent="0.25">
      <c r="B75" t="s">
        <v>50</v>
      </c>
      <c r="C75" s="4">
        <v>4</v>
      </c>
    </row>
    <row r="76" spans="2:3" x14ac:dyDescent="0.25">
      <c r="B76" t="s">
        <v>53</v>
      </c>
      <c r="C76" s="4">
        <v>5</v>
      </c>
    </row>
    <row r="77" spans="2:3" x14ac:dyDescent="0.25">
      <c r="B77" t="s">
        <v>52</v>
      </c>
      <c r="C77" s="4">
        <f>SUM(C64:C76)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Mohr</dc:creator>
  <cp:lastModifiedBy>TU-Pseudonym 8679361759393935</cp:lastModifiedBy>
  <dcterms:created xsi:type="dcterms:W3CDTF">2015-06-05T18:19:34Z</dcterms:created>
  <dcterms:modified xsi:type="dcterms:W3CDTF">2025-10-19T21:56:00Z</dcterms:modified>
</cp:coreProperties>
</file>